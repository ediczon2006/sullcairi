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Vales" sheetId="1" state="visible" r:id="rId1"/>
    <sheet name="Kardex Tanques" sheetId="2" state="visible" r:id="rId2"/>
    <sheet name="Resumen 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Gln&quot;"/>
    <numFmt numFmtId="165" formatCode="&quot;S/.&quot; #,##0.00"/>
    <numFmt numFmtId="166" formatCode="0 &quot;Vales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555555"/>
      <sz val="8"/>
    </font>
    <font>
      <name val="Segoe UI"/>
      <b val="1"/>
      <color rgb="001E4620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9B1C1C"/>
      <sz val="9"/>
    </font>
    <font>
      <name val="Segoe UI"/>
      <b val="1"/>
      <color rgb="001B5E20"/>
      <sz val="10"/>
    </font>
    <font>
      <name val="Segoe U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4361B"/>
        <bgColor rgb="0014361B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1E4620"/>
        <bgColor rgb="001E4620"/>
      </patternFill>
    </fill>
    <fill>
      <patternFill patternType="solid">
        <fgColor rgb="00FDE8E8"/>
        <bgColor rgb="00FDE8E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right" vertical="center"/>
    </xf>
    <xf numFmtId="164" fontId="7" fillId="7" borderId="0" applyAlignment="1" pivotButton="0" quotePrefix="0" xfId="0">
      <alignment horizontal="right" vertical="center"/>
    </xf>
    <xf numFmtId="0" fontId="0" fillId="7" borderId="0" pivotButton="0" quotePrefix="0" xfId="0"/>
    <xf numFmtId="165" fontId="7" fillId="7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0" customWidth="1" min="4" max="4"/>
    <col width="11" customWidth="1" min="5" max="5"/>
    <col width="28" customWidth="1" min="6" max="6"/>
    <col width="12" customWidth="1" min="7" max="7"/>
    <col width="18" customWidth="1" min="8" max="8"/>
    <col width="14" customWidth="1" min="9" max="9"/>
    <col width="16" customWidth="1" min="10" max="10"/>
    <col width="15" customWidth="1" min="11" max="11"/>
    <col width="16" customWidth="1" min="12" max="12"/>
    <col width="16" customWidth="1" min="13" max="13"/>
    <col width="14" customWidth="1" min="14" max="14"/>
    <col width="22" customWidth="1" min="15" max="15"/>
  </cols>
  <sheetData>
    <row r="1" ht="32" customHeight="1">
      <c r="A1" s="1" t="inlineStr">
        <is>
          <t>ESTACIÓN DE SERVICIOS - REGISTRO Y CONTROL DE VALES DE CRÉDITO</t>
        </is>
      </c>
    </row>
    <row r="2"/>
    <row r="3">
      <c r="B3" s="2" t="inlineStr">
        <is>
          <t>TOTAL VALES REGISTRADOS</t>
        </is>
      </c>
      <c r="E3" s="2" t="inlineStr">
        <is>
          <t>TOTAL DIESEL (GLN)</t>
        </is>
      </c>
      <c r="H3" s="2" t="inlineStr">
        <is>
          <t>TOTAL PREMIUM (GLN)</t>
        </is>
      </c>
      <c r="K3" s="2" t="inlineStr">
        <is>
          <t>IMPORTE TOTAL (S/.)</t>
        </is>
      </c>
      <c r="M3" s="2" t="inlineStr">
        <is>
          <t>VALES ANULADOS</t>
        </is>
      </c>
    </row>
    <row r="4">
      <c r="B4" s="3">
        <f>COUNTA(E8:E100)</f>
        <v/>
      </c>
      <c r="E4" s="4">
        <f>SUMIFS(J8:J100, I8:I100, "DIESEL B5", N8:N100, "&lt;&gt;ANULADO")</f>
        <v/>
      </c>
      <c r="H4" s="4">
        <f>SUMIFS(J8:J100, I8:I100, "PREMIUM", N8:N100, "&lt;&gt;ANULADO")</f>
        <v/>
      </c>
      <c r="K4" s="5">
        <f>SUMIF(N8:N100, "&lt;&gt;ANULADO", L8:L100)</f>
        <v/>
      </c>
      <c r="M4" s="6">
        <f>COUNTIF(N8:N100, "ANULADO")</f>
        <v/>
      </c>
    </row>
    <row r="5"/>
    <row r="6"/>
    <row r="7" ht="24" customHeight="1">
      <c r="A7" s="7" t="inlineStr">
        <is>
          <t>ITEM</t>
        </is>
      </c>
      <c r="B7" s="7" t="inlineStr">
        <is>
          <t>FECHA EMISIÓN</t>
        </is>
      </c>
      <c r="C7" s="7" t="inlineStr">
        <is>
          <t>FECHA RECOJO</t>
        </is>
      </c>
      <c r="D7" s="7" t="inlineStr">
        <is>
          <t>TURNO</t>
        </is>
      </c>
      <c r="E7" s="7" t="inlineStr">
        <is>
          <t>N° VALE</t>
        </is>
      </c>
      <c r="F7" s="7" t="inlineStr">
        <is>
          <t>CLIENTE / EMPRESA</t>
        </is>
      </c>
      <c r="G7" s="7" t="inlineStr">
        <is>
          <t>PLACA</t>
        </is>
      </c>
      <c r="H7" s="7" t="inlineStr">
        <is>
          <t>CONDUCTOR</t>
        </is>
      </c>
      <c r="I7" s="7" t="inlineStr">
        <is>
          <t>PRODUCTO</t>
        </is>
      </c>
      <c r="J7" s="7" t="inlineStr">
        <is>
          <t>CANTIDAD (GLN)</t>
        </is>
      </c>
      <c r="K7" s="7" t="inlineStr">
        <is>
          <t>PRECIO (S/)</t>
        </is>
      </c>
      <c r="L7" s="7" t="inlineStr">
        <is>
          <t>TOTAL (S/)</t>
        </is>
      </c>
      <c r="M7" s="7" t="inlineStr">
        <is>
          <t>GRIFERO / ISLA</t>
        </is>
      </c>
      <c r="N7" s="7" t="inlineStr">
        <is>
          <t>ESTADO</t>
        </is>
      </c>
      <c r="O7" s="7" t="inlineStr">
        <is>
          <t>N° FACTURA / DOC</t>
        </is>
      </c>
    </row>
    <row r="8" ht="20" customHeight="1">
      <c r="A8" s="8" t="n">
        <v>1</v>
      </c>
      <c r="B8" s="8" t="inlineStr">
        <is>
          <t>2026-08-17</t>
        </is>
      </c>
      <c r="C8" s="8" t="inlineStr">
        <is>
          <t>2026-08-17</t>
        </is>
      </c>
      <c r="D8" s="8" t="inlineStr">
        <is>
          <t>T1</t>
        </is>
      </c>
      <c r="E8" s="8" t="n">
        <v>377</v>
      </c>
      <c r="F8" s="9" t="inlineStr">
        <is>
          <t>Transportes Andina S.A.C.</t>
        </is>
      </c>
      <c r="G8" s="8" t="inlineStr">
        <is>
          <t>A1B-823</t>
        </is>
      </c>
      <c r="H8" s="9" t="inlineStr">
        <is>
          <t>Carlos Rojas</t>
        </is>
      </c>
      <c r="I8" s="8" t="inlineStr">
        <is>
          <t>PREMIUM</t>
        </is>
      </c>
      <c r="J8" s="10" t="n">
        <v>8</v>
      </c>
      <c r="K8" s="11" t="n">
        <v>19.5</v>
      </c>
      <c r="L8" s="11">
        <f>J8*K8</f>
        <v/>
      </c>
      <c r="M8" s="8" t="inlineStr">
        <is>
          <t>Juan P.</t>
        </is>
      </c>
      <c r="N8" s="8" t="inlineStr">
        <is>
          <t>FACTURADO</t>
        </is>
      </c>
      <c r="O8" s="8" t="inlineStr">
        <is>
          <t>F001-00452</t>
        </is>
      </c>
    </row>
    <row r="9" ht="20" customHeight="1">
      <c r="A9" s="8" t="n">
        <v>2</v>
      </c>
      <c r="B9" s="8" t="inlineStr">
        <is>
          <t>2026-08-17</t>
        </is>
      </c>
      <c r="C9" s="8" t="inlineStr">
        <is>
          <t>2026-08-18</t>
        </is>
      </c>
      <c r="D9" s="8" t="inlineStr">
        <is>
          <t>T1</t>
        </is>
      </c>
      <c r="E9" s="8" t="n">
        <v>378</v>
      </c>
      <c r="F9" s="9" t="inlineStr">
        <is>
          <t>Constructora del Sur</t>
        </is>
      </c>
      <c r="G9" s="8" t="inlineStr">
        <is>
          <t>C4F-912</t>
        </is>
      </c>
      <c r="H9" s="9" t="inlineStr">
        <is>
          <t>Manuel Vega</t>
        </is>
      </c>
      <c r="I9" s="8" t="inlineStr">
        <is>
          <t>PREMIUM</t>
        </is>
      </c>
      <c r="J9" s="10" t="n">
        <v>3</v>
      </c>
      <c r="K9" s="11" t="n">
        <v>19.5</v>
      </c>
      <c r="L9" s="11">
        <f>J9*K9</f>
        <v/>
      </c>
      <c r="M9" s="8" t="inlineStr">
        <is>
          <t>Juan P.</t>
        </is>
      </c>
      <c r="N9" s="8" t="inlineStr">
        <is>
          <t>FACTURADO</t>
        </is>
      </c>
      <c r="O9" s="8" t="inlineStr">
        <is>
          <t>F001-00455</t>
        </is>
      </c>
    </row>
    <row r="10" ht="20" customHeight="1">
      <c r="A10" s="12" t="n">
        <v>3</v>
      </c>
      <c r="B10" s="12" t="inlineStr">
        <is>
          <t>2026-08-18</t>
        </is>
      </c>
      <c r="C10" s="12" t="inlineStr">
        <is>
          <t>2026-08-18</t>
        </is>
      </c>
      <c r="D10" s="12" t="inlineStr">
        <is>
          <t>T2</t>
        </is>
      </c>
      <c r="E10" s="12" t="n">
        <v>379</v>
      </c>
      <c r="F10" s="13" t="inlineStr">
        <is>
          <t>-</t>
        </is>
      </c>
      <c r="G10" s="12" t="inlineStr">
        <is>
          <t>-</t>
        </is>
      </c>
      <c r="H10" s="13" t="inlineStr">
        <is>
          <t>-</t>
        </is>
      </c>
      <c r="I10" s="12" t="inlineStr">
        <is>
          <t>-</t>
        </is>
      </c>
      <c r="J10" s="14" t="n">
        <v>0</v>
      </c>
      <c r="K10" s="15" t="n">
        <v>0</v>
      </c>
      <c r="L10" s="15">
        <f>J10*K10</f>
        <v/>
      </c>
      <c r="M10" s="12" t="inlineStr">
        <is>
          <t>Pedro M.</t>
        </is>
      </c>
      <c r="N10" s="12" t="inlineStr">
        <is>
          <t>ANULADO</t>
        </is>
      </c>
      <c r="O10" s="12" t="inlineStr">
        <is>
          <t>ERROR LLENADO</t>
        </is>
      </c>
    </row>
    <row r="11" ht="20" customHeight="1">
      <c r="A11" s="8" t="n">
        <v>4</v>
      </c>
      <c r="B11" s="8" t="inlineStr">
        <is>
          <t>2026-08-19</t>
        </is>
      </c>
      <c r="C11" s="8" t="inlineStr">
        <is>
          <t>2026-08-20</t>
        </is>
      </c>
      <c r="D11" s="8" t="inlineStr">
        <is>
          <t>T1</t>
        </is>
      </c>
      <c r="E11" s="8" t="n">
        <v>380</v>
      </c>
      <c r="F11" s="9" t="inlineStr">
        <is>
          <t>Distribuidora Lima</t>
        </is>
      </c>
      <c r="G11" s="8" t="inlineStr">
        <is>
          <t>T6U-711</t>
        </is>
      </c>
      <c r="H11" s="9" t="inlineStr">
        <is>
          <t>Jorge Quispe</t>
        </is>
      </c>
      <c r="I11" s="8" t="inlineStr">
        <is>
          <t>DIESEL B5</t>
        </is>
      </c>
      <c r="J11" s="10" t="n">
        <v>10</v>
      </c>
      <c r="K11" s="11" t="n">
        <v>16.8</v>
      </c>
      <c r="L11" s="11">
        <f>J11*K11</f>
        <v/>
      </c>
      <c r="M11" s="8" t="inlineStr">
        <is>
          <t>Luis G.</t>
        </is>
      </c>
      <c r="N11" s="8" t="inlineStr">
        <is>
          <t>FACTURADO</t>
        </is>
      </c>
      <c r="O11" s="8" t="inlineStr">
        <is>
          <t>F001-00460</t>
        </is>
      </c>
    </row>
    <row r="12" ht="20" customHeight="1">
      <c r="A12" s="8" t="n">
        <v>5</v>
      </c>
      <c r="B12" s="8" t="inlineStr">
        <is>
          <t>2026-08-19</t>
        </is>
      </c>
      <c r="C12" s="8" t="inlineStr">
        <is>
          <t>2026-08-19</t>
        </is>
      </c>
      <c r="D12" s="8" t="inlineStr">
        <is>
          <t>T2</t>
        </is>
      </c>
      <c r="E12" s="8" t="n">
        <v>381</v>
      </c>
      <c r="F12" s="9" t="inlineStr">
        <is>
          <t>Transportes Andina S.A.C.</t>
        </is>
      </c>
      <c r="G12" s="8" t="inlineStr">
        <is>
          <t>A1B-823</t>
        </is>
      </c>
      <c r="H12" s="9" t="inlineStr">
        <is>
          <t>Carlos Rojas</t>
        </is>
      </c>
      <c r="I12" s="8" t="inlineStr">
        <is>
          <t>PREMIUM</t>
        </is>
      </c>
      <c r="J12" s="10" t="n">
        <v>4</v>
      </c>
      <c r="K12" s="11" t="n">
        <v>19.5</v>
      </c>
      <c r="L12" s="11">
        <f>J12*K12</f>
        <v/>
      </c>
      <c r="M12" s="8" t="inlineStr">
        <is>
          <t>Pedro M.</t>
        </is>
      </c>
      <c r="N12" s="8" t="inlineStr">
        <is>
          <t>PENDIENTE</t>
        </is>
      </c>
      <c r="O12" s="8" t="inlineStr">
        <is>
          <t>-</t>
        </is>
      </c>
    </row>
    <row r="13" ht="20" customHeight="1">
      <c r="A13" s="8" t="n">
        <v>6</v>
      </c>
      <c r="B13" s="8" t="inlineStr">
        <is>
          <t>2026-08-17</t>
        </is>
      </c>
      <c r="C13" s="8" t="inlineStr">
        <is>
          <t>2026-08-20</t>
        </is>
      </c>
      <c r="D13" s="8" t="inlineStr">
        <is>
          <t>T3</t>
        </is>
      </c>
      <c r="E13" s="8" t="n">
        <v>382</v>
      </c>
      <c r="F13" s="9" t="inlineStr">
        <is>
          <t>Minera Horizonte</t>
        </is>
      </c>
      <c r="G13" s="8" t="inlineStr">
        <is>
          <t>V7X-551</t>
        </is>
      </c>
      <c r="H13" s="9" t="inlineStr">
        <is>
          <t>Alonso Ruiz</t>
        </is>
      </c>
      <c r="I13" s="8" t="inlineStr">
        <is>
          <t>PREMIUM</t>
        </is>
      </c>
      <c r="J13" s="10" t="n">
        <v>1</v>
      </c>
      <c r="K13" s="11" t="n">
        <v>19.5</v>
      </c>
      <c r="L13" s="11">
        <f>J13*K13</f>
        <v/>
      </c>
      <c r="M13" s="8" t="inlineStr">
        <is>
          <t>Mario S.</t>
        </is>
      </c>
      <c r="N13" s="8" t="inlineStr">
        <is>
          <t>PENDIENTE</t>
        </is>
      </c>
      <c r="O13" s="8" t="inlineStr">
        <is>
          <t>-</t>
        </is>
      </c>
    </row>
    <row r="14" ht="20" customHeight="1">
      <c r="A14" s="8" t="n">
        <v>7</v>
      </c>
      <c r="B14" s="8" t="inlineStr">
        <is>
          <t>2026-08-20</t>
        </is>
      </c>
      <c r="C14" s="8" t="inlineStr">
        <is>
          <t>2026-08-20</t>
        </is>
      </c>
      <c r="D14" s="8" t="inlineStr">
        <is>
          <t>T1</t>
        </is>
      </c>
      <c r="E14" s="8" t="n">
        <v>383</v>
      </c>
      <c r="F14" s="9" t="inlineStr">
        <is>
          <t>Constructora del Sur</t>
        </is>
      </c>
      <c r="G14" s="8" t="inlineStr">
        <is>
          <t>C4F-912</t>
        </is>
      </c>
      <c r="H14" s="9" t="inlineStr">
        <is>
          <t>Manuel Vega</t>
        </is>
      </c>
      <c r="I14" s="8" t="inlineStr">
        <is>
          <t>PREMIUM</t>
        </is>
      </c>
      <c r="J14" s="10" t="n">
        <v>4</v>
      </c>
      <c r="K14" s="11" t="n">
        <v>19.5</v>
      </c>
      <c r="L14" s="11">
        <f>J14*K14</f>
        <v/>
      </c>
      <c r="M14" s="8" t="inlineStr">
        <is>
          <t>Juan P.</t>
        </is>
      </c>
      <c r="N14" s="8" t="inlineStr">
        <is>
          <t>PENDIENTE</t>
        </is>
      </c>
      <c r="O14" s="8" t="inlineStr">
        <is>
          <t>-</t>
        </is>
      </c>
    </row>
    <row r="15" ht="20" customHeight="1">
      <c r="A15" s="8" t="n">
        <v>8</v>
      </c>
      <c r="B15" s="8" t="inlineStr">
        <is>
          <t>2026-08-21</t>
        </is>
      </c>
      <c r="C15" s="8" t="inlineStr">
        <is>
          <t>2026-08-22</t>
        </is>
      </c>
      <c r="D15" s="8" t="inlineStr">
        <is>
          <t>T1</t>
        </is>
      </c>
      <c r="E15" s="8" t="n">
        <v>384</v>
      </c>
      <c r="F15" s="9" t="inlineStr">
        <is>
          <t>Distribuidora Lima</t>
        </is>
      </c>
      <c r="G15" s="8" t="inlineStr">
        <is>
          <t>T6U-711</t>
        </is>
      </c>
      <c r="H15" s="9" t="inlineStr">
        <is>
          <t>Jorge Quispe</t>
        </is>
      </c>
      <c r="I15" s="8" t="inlineStr">
        <is>
          <t>PREMIUM</t>
        </is>
      </c>
      <c r="J15" s="10" t="n">
        <v>7</v>
      </c>
      <c r="K15" s="11" t="n">
        <v>19.5</v>
      </c>
      <c r="L15" s="11">
        <f>J15*K15</f>
        <v/>
      </c>
      <c r="M15" s="8" t="inlineStr">
        <is>
          <t>Luis G.</t>
        </is>
      </c>
      <c r="N15" s="8" t="inlineStr">
        <is>
          <t>PENDIENTE</t>
        </is>
      </c>
      <c r="O15" s="8" t="inlineStr">
        <is>
          <t>-</t>
        </is>
      </c>
    </row>
    <row r="16" ht="20" customHeight="1">
      <c r="A16" s="8" t="n">
        <v>9</v>
      </c>
      <c r="B16" s="8" t="inlineStr">
        <is>
          <t>2026-08-21</t>
        </is>
      </c>
      <c r="C16" s="8" t="inlineStr">
        <is>
          <t>2026-08-21</t>
        </is>
      </c>
      <c r="D16" s="8" t="inlineStr">
        <is>
          <t>T2</t>
        </is>
      </c>
      <c r="E16" s="8" t="n">
        <v>385</v>
      </c>
      <c r="F16" s="9" t="inlineStr">
        <is>
          <t>Agropecuaria San José</t>
        </is>
      </c>
      <c r="G16" s="8" t="inlineStr">
        <is>
          <t>B8K-102</t>
        </is>
      </c>
      <c r="H16" s="9" t="inlineStr">
        <is>
          <t>Raúl Castro</t>
        </is>
      </c>
      <c r="I16" s="8" t="inlineStr">
        <is>
          <t>PREMIUM</t>
        </is>
      </c>
      <c r="J16" s="10" t="n">
        <v>8</v>
      </c>
      <c r="K16" s="11" t="n">
        <v>19.5</v>
      </c>
      <c r="L16" s="11">
        <f>J16*K16</f>
        <v/>
      </c>
      <c r="M16" s="8" t="inlineStr">
        <is>
          <t>Pedro M.</t>
        </is>
      </c>
      <c r="N16" s="8" t="inlineStr">
        <is>
          <t>PENDIENTE</t>
        </is>
      </c>
      <c r="O16" s="8" t="inlineStr">
        <is>
          <t>-</t>
        </is>
      </c>
    </row>
    <row r="17" ht="20" customHeight="1">
      <c r="A17" s="12" t="n">
        <v>10</v>
      </c>
      <c r="B17" s="12" t="inlineStr">
        <is>
          <t>2026-08-22</t>
        </is>
      </c>
      <c r="C17" s="12" t="inlineStr">
        <is>
          <t>2026-08-22</t>
        </is>
      </c>
      <c r="D17" s="12" t="inlineStr">
        <is>
          <t>T1</t>
        </is>
      </c>
      <c r="E17" s="12" t="n">
        <v>386</v>
      </c>
      <c r="F17" s="13" t="inlineStr">
        <is>
          <t>-</t>
        </is>
      </c>
      <c r="G17" s="12" t="inlineStr">
        <is>
          <t>-</t>
        </is>
      </c>
      <c r="H17" s="13" t="inlineStr">
        <is>
          <t>-</t>
        </is>
      </c>
      <c r="I17" s="12" t="inlineStr">
        <is>
          <t>-</t>
        </is>
      </c>
      <c r="J17" s="14" t="n">
        <v>0</v>
      </c>
      <c r="K17" s="15" t="n">
        <v>0</v>
      </c>
      <c r="L17" s="15">
        <f>J17*K17</f>
        <v/>
      </c>
      <c r="M17" s="12" t="inlineStr">
        <is>
          <t>Juan P.</t>
        </is>
      </c>
      <c r="N17" s="12" t="inlineStr">
        <is>
          <t>ANULADO</t>
        </is>
      </c>
      <c r="O17" s="12" t="inlineStr">
        <is>
          <t>VALE ROTO</t>
        </is>
      </c>
    </row>
    <row r="18" ht="20" customHeight="1">
      <c r="A18" s="8" t="n">
        <v>11</v>
      </c>
      <c r="B18" s="8" t="inlineStr">
        <is>
          <t>2026-08-25</t>
        </is>
      </c>
      <c r="C18" s="8" t="inlineStr">
        <is>
          <t>2026-08-26</t>
        </is>
      </c>
      <c r="D18" s="8" t="inlineStr">
        <is>
          <t>T1</t>
        </is>
      </c>
      <c r="E18" s="8" t="n">
        <v>387</v>
      </c>
      <c r="F18" s="9" t="inlineStr">
        <is>
          <t>Distribuidora Lima</t>
        </is>
      </c>
      <c r="G18" s="8" t="inlineStr">
        <is>
          <t>T6U-711</t>
        </is>
      </c>
      <c r="H18" s="9" t="inlineStr">
        <is>
          <t>Jorge Quispe</t>
        </is>
      </c>
      <c r="I18" s="8" t="inlineStr">
        <is>
          <t>DIESEL B5</t>
        </is>
      </c>
      <c r="J18" s="10" t="n">
        <v>11</v>
      </c>
      <c r="K18" s="11" t="n">
        <v>16.8</v>
      </c>
      <c r="L18" s="11">
        <f>J18*K18</f>
        <v/>
      </c>
      <c r="M18" s="8" t="inlineStr">
        <is>
          <t>Luis G.</t>
        </is>
      </c>
      <c r="N18" s="8" t="inlineStr">
        <is>
          <t>PENDIENTE</t>
        </is>
      </c>
      <c r="O18" s="8" t="inlineStr">
        <is>
          <t>-</t>
        </is>
      </c>
    </row>
    <row r="19" ht="20" customHeight="1">
      <c r="A19" s="8" t="n">
        <v>12</v>
      </c>
      <c r="B19" s="8" t="inlineStr">
        <is>
          <t>2026-08-25</t>
        </is>
      </c>
      <c r="C19" s="8" t="inlineStr">
        <is>
          <t>2026-08-25</t>
        </is>
      </c>
      <c r="D19" s="8" t="inlineStr">
        <is>
          <t>T2</t>
        </is>
      </c>
      <c r="E19" s="8" t="n">
        <v>388</v>
      </c>
      <c r="F19" s="9" t="inlineStr">
        <is>
          <t>Transportes Andina S.A.C.</t>
        </is>
      </c>
      <c r="G19" s="8" t="inlineStr">
        <is>
          <t>A1B-823</t>
        </is>
      </c>
      <c r="H19" s="9" t="inlineStr">
        <is>
          <t>Carlos Rojas</t>
        </is>
      </c>
      <c r="I19" s="8" t="inlineStr">
        <is>
          <t>PREMIUM</t>
        </is>
      </c>
      <c r="J19" s="10" t="n">
        <v>4</v>
      </c>
      <c r="K19" s="11" t="n">
        <v>19.5</v>
      </c>
      <c r="L19" s="11">
        <f>J19*K19</f>
        <v/>
      </c>
      <c r="M19" s="8" t="inlineStr">
        <is>
          <t>Pedro M.</t>
        </is>
      </c>
      <c r="N19" s="8" t="inlineStr">
        <is>
          <t>PENDIENTE</t>
        </is>
      </c>
      <c r="O19" s="8" t="inlineStr">
        <is>
          <t>-</t>
        </is>
      </c>
    </row>
    <row r="20" ht="20" customHeight="1">
      <c r="A20" s="8" t="n">
        <v>13</v>
      </c>
      <c r="B20" s="8" t="inlineStr">
        <is>
          <t>2026-08-26</t>
        </is>
      </c>
      <c r="C20" s="8" t="inlineStr">
        <is>
          <t>2026-08-27</t>
        </is>
      </c>
      <c r="D20" s="8" t="inlineStr">
        <is>
          <t>T1</t>
        </is>
      </c>
      <c r="E20" s="8" t="n">
        <v>389</v>
      </c>
      <c r="F20" s="9" t="inlineStr">
        <is>
          <t>Constructora del Sur</t>
        </is>
      </c>
      <c r="G20" s="8" t="inlineStr">
        <is>
          <t>C4F-912</t>
        </is>
      </c>
      <c r="H20" s="9" t="inlineStr">
        <is>
          <t>Manuel Vega</t>
        </is>
      </c>
      <c r="I20" s="8" t="inlineStr">
        <is>
          <t>PREMIUM</t>
        </is>
      </c>
      <c r="J20" s="10" t="n">
        <v>4</v>
      </c>
      <c r="K20" s="11" t="n">
        <v>19.5</v>
      </c>
      <c r="L20" s="11">
        <f>J20*K20</f>
        <v/>
      </c>
      <c r="M20" s="8" t="inlineStr">
        <is>
          <t>Juan P.</t>
        </is>
      </c>
      <c r="N20" s="8" t="inlineStr">
        <is>
          <t>PENDIENTE</t>
        </is>
      </c>
      <c r="O20" s="8" t="inlineStr">
        <is>
          <t>-</t>
        </is>
      </c>
    </row>
    <row r="21" ht="20" customHeight="1">
      <c r="A21" s="8" t="n">
        <v>14</v>
      </c>
      <c r="B21" s="8" t="inlineStr">
        <is>
          <t>2026-08-27</t>
        </is>
      </c>
      <c r="C21" s="8" t="inlineStr">
        <is>
          <t>2026-08-27</t>
        </is>
      </c>
      <c r="D21" s="8" t="inlineStr">
        <is>
          <t>T1</t>
        </is>
      </c>
      <c r="E21" s="8" t="n">
        <v>390</v>
      </c>
      <c r="F21" s="9" t="inlineStr">
        <is>
          <t>Agropecuaria San José</t>
        </is>
      </c>
      <c r="G21" s="8" t="inlineStr">
        <is>
          <t>B8K-102</t>
        </is>
      </c>
      <c r="H21" s="9" t="inlineStr">
        <is>
          <t>Raúl Castro</t>
        </is>
      </c>
      <c r="I21" s="8" t="inlineStr">
        <is>
          <t>PREMIUM</t>
        </is>
      </c>
      <c r="J21" s="10" t="n">
        <v>8</v>
      </c>
      <c r="K21" s="11" t="n">
        <v>19.5</v>
      </c>
      <c r="L21" s="11">
        <f>J21*K21</f>
        <v/>
      </c>
      <c r="M21" s="8" t="inlineStr">
        <is>
          <t>Luis G.</t>
        </is>
      </c>
      <c r="N21" s="8" t="inlineStr">
        <is>
          <t>PENDIENTE</t>
        </is>
      </c>
      <c r="O21" s="8" t="inlineStr">
        <is>
          <t>-</t>
        </is>
      </c>
    </row>
    <row r="22" ht="20" customHeight="1">
      <c r="A22" s="8" t="n">
        <v>15</v>
      </c>
      <c r="B22" s="8" t="inlineStr">
        <is>
          <t>2026-08-31</t>
        </is>
      </c>
      <c r="C22" s="8" t="inlineStr">
        <is>
          <t>2026-09-01</t>
        </is>
      </c>
      <c r="D22" s="8" t="inlineStr">
        <is>
          <t>T2</t>
        </is>
      </c>
      <c r="E22" s="8" t="n">
        <v>391</v>
      </c>
      <c r="F22" s="9" t="inlineStr">
        <is>
          <t>Transportes Andina S.A.C.</t>
        </is>
      </c>
      <c r="G22" s="8" t="inlineStr">
        <is>
          <t>B3M-442</t>
        </is>
      </c>
      <c r="H22" s="9" t="inlineStr">
        <is>
          <t>Felipe Díaz</t>
        </is>
      </c>
      <c r="I22" s="8" t="inlineStr">
        <is>
          <t>PREMIUM</t>
        </is>
      </c>
      <c r="J22" s="10" t="n">
        <v>7</v>
      </c>
      <c r="K22" s="11" t="n">
        <v>19.5</v>
      </c>
      <c r="L22" s="11">
        <f>J22*K22</f>
        <v/>
      </c>
      <c r="M22" s="8" t="inlineStr">
        <is>
          <t>Pedro M.</t>
        </is>
      </c>
      <c r="N22" s="8" t="inlineStr">
        <is>
          <t>PENDIENTE</t>
        </is>
      </c>
      <c r="O22" s="8" t="inlineStr">
        <is>
          <t>-</t>
        </is>
      </c>
    </row>
    <row r="23" ht="20" customHeight="1">
      <c r="A23" s="12" t="n">
        <v>16</v>
      </c>
      <c r="B23" s="12" t="inlineStr">
        <is>
          <t>2026-08-31</t>
        </is>
      </c>
      <c r="C23" s="12" t="inlineStr">
        <is>
          <t>2026-08-31</t>
        </is>
      </c>
      <c r="D23" s="12" t="inlineStr">
        <is>
          <t>T3</t>
        </is>
      </c>
      <c r="E23" s="12" t="n">
        <v>392</v>
      </c>
      <c r="F23" s="13" t="inlineStr">
        <is>
          <t>-</t>
        </is>
      </c>
      <c r="G23" s="12" t="inlineStr">
        <is>
          <t>-</t>
        </is>
      </c>
      <c r="H23" s="13" t="inlineStr">
        <is>
          <t>-</t>
        </is>
      </c>
      <c r="I23" s="12" t="inlineStr">
        <is>
          <t>-</t>
        </is>
      </c>
      <c r="J23" s="14" t="n">
        <v>0</v>
      </c>
      <c r="K23" s="15" t="n">
        <v>0</v>
      </c>
      <c r="L23" s="15">
        <f>J23*K23</f>
        <v/>
      </c>
      <c r="M23" s="12" t="inlineStr">
        <is>
          <t>Mario S.</t>
        </is>
      </c>
      <c r="N23" s="12" t="inlineStr">
        <is>
          <t>ANULADO</t>
        </is>
      </c>
      <c r="O23" s="12" t="inlineStr">
        <is>
          <t>CORRELATIVO SALTADO</t>
        </is>
      </c>
    </row>
    <row r="24" ht="20" customHeight="1">
      <c r="A24" s="12" t="n">
        <v>17</v>
      </c>
      <c r="B24" s="12" t="inlineStr">
        <is>
          <t>2026-08-31</t>
        </is>
      </c>
      <c r="C24" s="12" t="inlineStr">
        <is>
          <t>2026-08-31</t>
        </is>
      </c>
      <c r="D24" s="12" t="inlineStr">
        <is>
          <t>T3</t>
        </is>
      </c>
      <c r="E24" s="12" t="n">
        <v>393</v>
      </c>
      <c r="F24" s="13" t="inlineStr">
        <is>
          <t>-</t>
        </is>
      </c>
      <c r="G24" s="12" t="inlineStr">
        <is>
          <t>-</t>
        </is>
      </c>
      <c r="H24" s="13" t="inlineStr">
        <is>
          <t>-</t>
        </is>
      </c>
      <c r="I24" s="12" t="inlineStr">
        <is>
          <t>-</t>
        </is>
      </c>
      <c r="J24" s="14" t="n">
        <v>0</v>
      </c>
      <c r="K24" s="15" t="n">
        <v>0</v>
      </c>
      <c r="L24" s="15">
        <f>J24*K24</f>
        <v/>
      </c>
      <c r="M24" s="12" t="inlineStr">
        <is>
          <t>Mario S.</t>
        </is>
      </c>
      <c r="N24" s="12" t="inlineStr">
        <is>
          <t>ANULADO</t>
        </is>
      </c>
      <c r="O24" s="12" t="inlineStr">
        <is>
          <t>EXTRAVIO</t>
        </is>
      </c>
    </row>
    <row r="25" ht="20" customHeight="1">
      <c r="A25" s="8" t="n">
        <v>18</v>
      </c>
      <c r="B25" s="8" t="inlineStr">
        <is>
          <t>2026-09-01</t>
        </is>
      </c>
      <c r="C25" s="8" t="inlineStr">
        <is>
          <t>2026-09-02</t>
        </is>
      </c>
      <c r="D25" s="8" t="inlineStr">
        <is>
          <t>T1</t>
        </is>
      </c>
      <c r="E25" s="8" t="n">
        <v>394</v>
      </c>
      <c r="F25" s="9" t="inlineStr">
        <is>
          <t>Distribuidora Lima</t>
        </is>
      </c>
      <c r="G25" s="8" t="inlineStr">
        <is>
          <t>T6U-711</t>
        </is>
      </c>
      <c r="H25" s="9" t="inlineStr">
        <is>
          <t>Jorge Quispe</t>
        </is>
      </c>
      <c r="I25" s="8" t="inlineStr">
        <is>
          <t>DIESEL B5</t>
        </is>
      </c>
      <c r="J25" s="10" t="n">
        <v>6</v>
      </c>
      <c r="K25" s="11" t="n">
        <v>16.8</v>
      </c>
      <c r="L25" s="11">
        <f>J25*K25</f>
        <v/>
      </c>
      <c r="M25" s="8" t="inlineStr">
        <is>
          <t>Luis G.</t>
        </is>
      </c>
      <c r="N25" s="8" t="inlineStr">
        <is>
          <t>PENDIENTE</t>
        </is>
      </c>
      <c r="O25" s="8" t="inlineStr">
        <is>
          <t>-</t>
        </is>
      </c>
    </row>
    <row r="26" ht="20" customHeight="1">
      <c r="A26" s="8" t="n">
        <v>19</v>
      </c>
      <c r="B26" s="8" t="inlineStr">
        <is>
          <t>2026-09-02</t>
        </is>
      </c>
      <c r="C26" s="8" t="inlineStr">
        <is>
          <t>2026-09-03</t>
        </is>
      </c>
      <c r="D26" s="8" t="inlineStr">
        <is>
          <t>T2</t>
        </is>
      </c>
      <c r="E26" s="8" t="n">
        <v>395</v>
      </c>
      <c r="F26" s="9" t="inlineStr">
        <is>
          <t>Minera Horizonte</t>
        </is>
      </c>
      <c r="G26" s="8" t="inlineStr">
        <is>
          <t>V7X-551</t>
        </is>
      </c>
      <c r="H26" s="9" t="inlineStr">
        <is>
          <t>Alonso Ruiz</t>
        </is>
      </c>
      <c r="I26" s="8" t="inlineStr">
        <is>
          <t>PREMIUM</t>
        </is>
      </c>
      <c r="J26" s="10" t="n">
        <v>12</v>
      </c>
      <c r="K26" s="11" t="n">
        <v>19.5</v>
      </c>
      <c r="L26" s="11">
        <f>J26*K26</f>
        <v/>
      </c>
      <c r="M26" s="8" t="inlineStr">
        <is>
          <t>Pedro M.</t>
        </is>
      </c>
      <c r="N26" s="8" t="inlineStr">
        <is>
          <t>PENDIENTE</t>
        </is>
      </c>
      <c r="O26" s="8" t="inlineStr">
        <is>
          <t>-</t>
        </is>
      </c>
    </row>
    <row r="27" ht="20" customHeight="1">
      <c r="A27" s="12" t="n">
        <v>20</v>
      </c>
      <c r="B27" s="12" t="inlineStr">
        <is>
          <t>2026-09-02</t>
        </is>
      </c>
      <c r="C27" s="12" t="inlineStr">
        <is>
          <t>2026-09-02</t>
        </is>
      </c>
      <c r="D27" s="12" t="inlineStr">
        <is>
          <t>T3</t>
        </is>
      </c>
      <c r="E27" s="12" t="n">
        <v>396</v>
      </c>
      <c r="F27" s="13" t="inlineStr">
        <is>
          <t>-</t>
        </is>
      </c>
      <c r="G27" s="12" t="inlineStr">
        <is>
          <t>-</t>
        </is>
      </c>
      <c r="H27" s="13" t="inlineStr">
        <is>
          <t>-</t>
        </is>
      </c>
      <c r="I27" s="12" t="inlineStr">
        <is>
          <t>-</t>
        </is>
      </c>
      <c r="J27" s="14" t="n">
        <v>0</v>
      </c>
      <c r="K27" s="15" t="n">
        <v>0</v>
      </c>
      <c r="L27" s="15">
        <f>J27*K27</f>
        <v/>
      </c>
      <c r="M27" s="12" t="inlineStr">
        <is>
          <t>Mario S.</t>
        </is>
      </c>
      <c r="N27" s="12" t="inlineStr">
        <is>
          <t>ANULADO</t>
        </is>
      </c>
      <c r="O27" s="12" t="inlineStr">
        <is>
          <t>ERROR EN PLACA</t>
        </is>
      </c>
    </row>
    <row r="28" ht="22" customHeight="1">
      <c r="A28" s="16" t="inlineStr">
        <is>
          <t>TOTALES GENERALES:</t>
        </is>
      </c>
      <c r="J28" s="17">
        <f>SUM(J8:J27)</f>
        <v/>
      </c>
      <c r="K28" s="18" t="n"/>
      <c r="L28" s="19">
        <f>SUM(L8:L27)</f>
        <v/>
      </c>
      <c r="M28" s="18" t="n"/>
      <c r="N28" s="18" t="n"/>
      <c r="O28" s="18" t="n"/>
    </row>
  </sheetData>
  <mergeCells count="12">
    <mergeCell ref="E4:F4"/>
    <mergeCell ref="A28:I28"/>
    <mergeCell ref="B3:C3"/>
    <mergeCell ref="A1:O1"/>
    <mergeCell ref="H4:I4"/>
    <mergeCell ref="M3:N3"/>
    <mergeCell ref="K4:L4"/>
    <mergeCell ref="M4:N4"/>
    <mergeCell ref="B4:C4"/>
    <mergeCell ref="E3:F3"/>
    <mergeCell ref="K3:L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8" customWidth="1" min="8" max="8"/>
    <col width="18" customWidth="1" min="9" max="9"/>
    <col width="18" customWidth="1" min="10" max="10"/>
    <col width="25" customWidth="1" min="11" max="11"/>
  </cols>
  <sheetData>
    <row r="1" ht="30" customHeight="1">
      <c r="A1" s="20" t="inlineStr">
        <is>
          <t>CONTROL DIARIO DE TANQUES - VARILLAJE Y COMPRAS DE COMBUSTIBLE (KARDEX)</t>
        </is>
      </c>
    </row>
    <row r="2"/>
    <row r="3" ht="24" customHeight="1">
      <c r="A3" s="7" t="inlineStr">
        <is>
          <t>FECHA</t>
        </is>
      </c>
      <c r="B3" s="7" t="inlineStr">
        <is>
          <t>PRODUCTO</t>
        </is>
      </c>
      <c r="C3" s="7" t="inlineStr">
        <is>
          <t>STOCK INICIAL (GLN)</t>
        </is>
      </c>
      <c r="D3" s="7" t="inlineStr">
        <is>
          <t>COMPRAS / CISTERNA</t>
        </is>
      </c>
      <c r="E3" s="7" t="inlineStr">
        <is>
          <t>N° GUÍA REMISIÓN</t>
        </is>
      </c>
      <c r="F3" s="7" t="inlineStr">
        <is>
          <t>VENTAS CONTÓMETRO</t>
        </is>
      </c>
      <c r="G3" s="7" t="inlineStr">
        <is>
          <t>VENTAS VALES</t>
        </is>
      </c>
      <c r="H3" s="7" t="inlineStr">
        <is>
          <t>STOCK TEÓRICO (GLN)</t>
        </is>
      </c>
      <c r="I3" s="7" t="inlineStr">
        <is>
          <t>STOCK FÍSICO VARILLA</t>
        </is>
      </c>
      <c r="J3" s="7" t="inlineStr">
        <is>
          <t>DIFERENCIA / MERMA</t>
        </is>
      </c>
      <c r="K3" s="7" t="inlineStr">
        <is>
          <t>OBSERVACIONES</t>
        </is>
      </c>
    </row>
    <row r="4" ht="20" customHeight="1">
      <c r="A4" s="8" t="inlineStr">
        <is>
          <t>2026-08-17</t>
        </is>
      </c>
      <c r="B4" s="8" t="inlineStr">
        <is>
          <t>PREMIUM</t>
        </is>
      </c>
      <c r="C4" s="10" t="n">
        <v>1200</v>
      </c>
      <c r="D4" s="10" t="n">
        <v>1500</v>
      </c>
      <c r="E4" s="8" t="inlineStr">
        <is>
          <t>GR-002341</t>
        </is>
      </c>
      <c r="F4" s="10" t="n">
        <v>450</v>
      </c>
      <c r="G4" s="10" t="n">
        <v>11</v>
      </c>
      <c r="H4" s="10">
        <f>C4+D4-(F4+G4)</f>
        <v/>
      </c>
      <c r="I4" s="10" t="n">
        <v>2235</v>
      </c>
      <c r="J4" s="10">
        <f>I4-H4</f>
        <v/>
      </c>
      <c r="K4" s="9" t="inlineStr">
        <is>
          <t>Descarga cisterna 11:00 am</t>
        </is>
      </c>
    </row>
    <row r="5" ht="20" customHeight="1">
      <c r="A5" s="8" t="inlineStr">
        <is>
          <t>2026-08-17</t>
        </is>
      </c>
      <c r="B5" s="8" t="inlineStr">
        <is>
          <t>DIESEL B5</t>
        </is>
      </c>
      <c r="C5" s="10" t="n">
        <v>2500</v>
      </c>
      <c r="D5" s="10" t="n">
        <v>0</v>
      </c>
      <c r="E5" s="8" t="inlineStr">
        <is>
          <t>-</t>
        </is>
      </c>
      <c r="F5" s="10" t="n">
        <v>820</v>
      </c>
      <c r="G5" s="10" t="n">
        <v>0</v>
      </c>
      <c r="H5" s="10">
        <f>C5+D5-(F5+G5)</f>
        <v/>
      </c>
      <c r="I5" s="10" t="n">
        <v>1675</v>
      </c>
      <c r="J5" s="10">
        <f>I5-H5</f>
        <v/>
      </c>
      <c r="K5" s="9" t="inlineStr">
        <is>
          <t>Normal</t>
        </is>
      </c>
    </row>
    <row r="6" ht="20" customHeight="1">
      <c r="A6" s="8" t="inlineStr">
        <is>
          <t>2026-08-18</t>
        </is>
      </c>
      <c r="B6" s="8" t="inlineStr">
        <is>
          <t>PREMIUM</t>
        </is>
      </c>
      <c r="C6" s="10" t="n">
        <v>2235</v>
      </c>
      <c r="D6" s="10" t="n">
        <v>0</v>
      </c>
      <c r="E6" s="8" t="inlineStr">
        <is>
          <t>-</t>
        </is>
      </c>
      <c r="F6" s="10" t="n">
        <v>380</v>
      </c>
      <c r="G6" s="10" t="n">
        <v>0</v>
      </c>
      <c r="H6" s="10">
        <f>C6+D6-(F6+G6)</f>
        <v/>
      </c>
      <c r="I6" s="10" t="n">
        <v>1852</v>
      </c>
      <c r="J6" s="10">
        <f>I6-H6</f>
        <v/>
      </c>
      <c r="K6" s="9" t="inlineStr">
        <is>
          <t>Variación normal</t>
        </is>
      </c>
    </row>
    <row r="7" ht="20" customHeight="1">
      <c r="A7" s="8" t="inlineStr">
        <is>
          <t>2026-08-18</t>
        </is>
      </c>
      <c r="B7" s="8" t="inlineStr">
        <is>
          <t>DIESEL B5</t>
        </is>
      </c>
      <c r="C7" s="10" t="n">
        <v>1675</v>
      </c>
      <c r="D7" s="10" t="n">
        <v>3000</v>
      </c>
      <c r="E7" s="8" t="inlineStr">
        <is>
          <t>GR-002358</t>
        </is>
      </c>
      <c r="F7" s="10" t="n">
        <v>910</v>
      </c>
      <c r="G7" s="10" t="n">
        <v>0</v>
      </c>
      <c r="H7" s="10">
        <f>C7+D7-(F7+G7)</f>
        <v/>
      </c>
      <c r="I7" s="10" t="n">
        <v>3760</v>
      </c>
      <c r="J7" s="10">
        <f>I7-H7</f>
        <v/>
      </c>
      <c r="K7" s="9" t="inlineStr">
        <is>
          <t>Cisterna recibida OK</t>
        </is>
      </c>
    </row>
    <row r="8" ht="20" customHeight="1">
      <c r="A8" s="8" t="inlineStr">
        <is>
          <t>2026-08-19</t>
        </is>
      </c>
      <c r="B8" s="8" t="inlineStr">
        <is>
          <t>PREMIUM</t>
        </is>
      </c>
      <c r="C8" s="10" t="n">
        <v>1852</v>
      </c>
      <c r="D8" s="10" t="n">
        <v>0</v>
      </c>
      <c r="E8" s="8" t="inlineStr">
        <is>
          <t>-</t>
        </is>
      </c>
      <c r="F8" s="10" t="n">
        <v>410</v>
      </c>
      <c r="G8" s="10" t="n">
        <v>4</v>
      </c>
      <c r="H8" s="10">
        <f>C8+D8-(F8+G8)</f>
        <v/>
      </c>
      <c r="I8" s="10" t="n">
        <v>1435</v>
      </c>
      <c r="J8" s="10">
        <f>I8-H8</f>
        <v/>
      </c>
      <c r="K8" s="9" t="inlineStr">
        <is>
          <t>Normal</t>
        </is>
      </c>
    </row>
    <row r="9" ht="20" customHeight="1">
      <c r="A9" s="8" t="inlineStr">
        <is>
          <t>2026-08-19</t>
        </is>
      </c>
      <c r="B9" s="8" t="inlineStr">
        <is>
          <t>DIESEL B5</t>
        </is>
      </c>
      <c r="C9" s="10" t="n">
        <v>3760</v>
      </c>
      <c r="D9" s="10" t="n">
        <v>0</v>
      </c>
      <c r="E9" s="8" t="inlineStr">
        <is>
          <t>-</t>
        </is>
      </c>
      <c r="F9" s="10" t="n">
        <v>980</v>
      </c>
      <c r="G9" s="10" t="n">
        <v>10</v>
      </c>
      <c r="H9" s="10">
        <f>C9+D9-(F9+G9)</f>
        <v/>
      </c>
      <c r="I9" s="10" t="n">
        <v>2768</v>
      </c>
      <c r="J9" s="10">
        <f>I9-H9</f>
        <v/>
      </c>
      <c r="K9" s="9" t="inlineStr">
        <is>
          <t>Normal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8" customWidth="1" min="5" max="5"/>
    <col width="22" customWidth="1" min="6" max="6"/>
  </cols>
  <sheetData>
    <row r="1" ht="30" customHeight="1">
      <c r="A1" s="20" t="inlineStr">
        <is>
          <t>LIQUIDACIÓN DE VALES POR CLIENTE (PENDIENTE DE FACTURAR)</t>
        </is>
      </c>
    </row>
    <row r="2"/>
    <row r="3" ht="24" customHeight="1">
      <c r="A3" s="7" t="inlineStr">
        <is>
          <t>CLIENTE / RAZÓN SOCIAL</t>
        </is>
      </c>
      <c r="B3" s="7" t="inlineStr">
        <is>
          <t>CANT. VALES PENDIENTES</t>
        </is>
      </c>
      <c r="C3" s="7" t="inlineStr">
        <is>
          <t>GLN DIESEL</t>
        </is>
      </c>
      <c r="D3" s="7" t="inlineStr">
        <is>
          <t>GLN PREMIUM</t>
        </is>
      </c>
      <c r="E3" s="7" t="inlineStr">
        <is>
          <t>DEUDA TOTAL (S/.)</t>
        </is>
      </c>
      <c r="F3" s="7" t="inlineStr">
        <is>
          <t>ESTADO DE CRÉDITO</t>
        </is>
      </c>
    </row>
    <row r="4" ht="20" customHeight="1">
      <c r="A4" s="9" t="inlineStr">
        <is>
          <t>Transportes Andina S.A.C.</t>
        </is>
      </c>
      <c r="B4" s="21">
        <f>COUNTIFS('Control de Vales'!E$8:E$100, A4, 'Control de Vales'!M$8:M$100, "PENDIENTE")</f>
        <v/>
      </c>
      <c r="C4" s="10">
        <f>SUMIFS('Control de Vales'!I$8:I$100, 'Control de Vales'!E$8:E$100, A4, 'Control de Vales'!H$8:H$100, "DIESEL B5", 'Control de Vales'!M$8:M$100, "PENDIENTE")</f>
        <v/>
      </c>
      <c r="D4" s="10">
        <f>SUMIFS('Control de Vales'!I$8:I$100, 'Control de Vales'!E$8:E$100, A4, 'Control de Vales'!H$8:H$100, "PREMIUM", 'Control de Vales'!M$8:M$100, "PENDIENTE")</f>
        <v/>
      </c>
      <c r="E4" s="11">
        <f>SUMIFS('Control de Vales'!K$8:K$100, 'Control de Vales'!E$8:E$100, A4, 'Control de Vales'!M$8:M$100, "PENDIENTE")</f>
        <v/>
      </c>
      <c r="F4" s="8" t="inlineStr">
        <is>
          <t>Activo / Al día</t>
        </is>
      </c>
    </row>
    <row r="5" ht="20" customHeight="1">
      <c r="A5" s="9" t="inlineStr">
        <is>
          <t>Constructora del Sur</t>
        </is>
      </c>
      <c r="B5" s="21">
        <f>COUNTIFS('Control de Vales'!E$8:E$100, A5, 'Control de Vales'!M$8:M$100, "PENDIENTE")</f>
        <v/>
      </c>
      <c r="C5" s="10">
        <f>SUMIFS('Control de Vales'!I$8:I$100, 'Control de Vales'!E$8:E$100, A5, 'Control de Vales'!H$8:H$100, "DIESEL B5", 'Control de Vales'!M$8:M$100, "PENDIENTE")</f>
        <v/>
      </c>
      <c r="D5" s="10">
        <f>SUMIFS('Control de Vales'!I$8:I$100, 'Control de Vales'!E$8:E$100, A5, 'Control de Vales'!H$8:H$100, "PREMIUM", 'Control de Vales'!M$8:M$100, "PENDIENTE")</f>
        <v/>
      </c>
      <c r="E5" s="11">
        <f>SUMIFS('Control de Vales'!K$8:K$100, 'Control de Vales'!E$8:E$100, A5, 'Control de Vales'!M$8:M$100, "PENDIENTE")</f>
        <v/>
      </c>
      <c r="F5" s="8" t="inlineStr">
        <is>
          <t>Activo / Al día</t>
        </is>
      </c>
    </row>
    <row r="6" ht="20" customHeight="1">
      <c r="A6" s="9" t="inlineStr">
        <is>
          <t>Distribuidora Lima</t>
        </is>
      </c>
      <c r="B6" s="21">
        <f>COUNTIFS('Control de Vales'!E$8:E$100, A6, 'Control de Vales'!M$8:M$100, "PENDIENTE")</f>
        <v/>
      </c>
      <c r="C6" s="10">
        <f>SUMIFS('Control de Vales'!I$8:I$100, 'Control de Vales'!E$8:E$100, A6, 'Control de Vales'!H$8:H$100, "DIESEL B5", 'Control de Vales'!M$8:M$100, "PENDIENTE")</f>
        <v/>
      </c>
      <c r="D6" s="10">
        <f>SUMIFS('Control de Vales'!I$8:I$100, 'Control de Vales'!E$8:E$100, A6, 'Control de Vales'!H$8:H$100, "PREMIUM", 'Control de Vales'!M$8:M$100, "PENDIENTE")</f>
        <v/>
      </c>
      <c r="E6" s="11">
        <f>SUMIFS('Control de Vales'!K$8:K$100, 'Control de Vales'!E$8:E$100, A6, 'Control de Vales'!M$8:M$100, "PENDIENTE")</f>
        <v/>
      </c>
      <c r="F6" s="8" t="inlineStr">
        <is>
          <t>Por facturar fin de mes</t>
        </is>
      </c>
    </row>
    <row r="7" ht="20" customHeight="1">
      <c r="A7" s="9" t="inlineStr">
        <is>
          <t>Agropecuaria San José</t>
        </is>
      </c>
      <c r="B7" s="21">
        <f>COUNTIFS('Control de Vales'!E$8:E$100, A7, 'Control de Vales'!M$8:M$100, "PENDIENTE")</f>
        <v/>
      </c>
      <c r="C7" s="10">
        <f>SUMIFS('Control de Vales'!I$8:I$100, 'Control de Vales'!E$8:E$100, A7, 'Control de Vales'!H$8:H$100, "DIESEL B5", 'Control de Vales'!M$8:M$100, "PENDIENTE")</f>
        <v/>
      </c>
      <c r="D7" s="10">
        <f>SUMIFS('Control de Vales'!I$8:I$100, 'Control de Vales'!E$8:E$100, A7, 'Control de Vales'!H$8:H$100, "PREMIUM", 'Control de Vales'!M$8:M$100, "PENDIENTE")</f>
        <v/>
      </c>
      <c r="E7" s="11">
        <f>SUMIFS('Control de Vales'!K$8:K$100, 'Control de Vales'!E$8:E$100, A7, 'Control de Vales'!M$8:M$100, "PENDIENTE")</f>
        <v/>
      </c>
      <c r="F7" s="8" t="inlineStr">
        <is>
          <t>Activo / Al día</t>
        </is>
      </c>
    </row>
    <row r="8" ht="20" customHeight="1">
      <c r="A8" s="9" t="inlineStr">
        <is>
          <t>Minera Horizonte</t>
        </is>
      </c>
      <c r="B8" s="21">
        <f>COUNTIFS('Control de Vales'!E$8:E$100, A8, 'Control de Vales'!M$8:M$100, "PENDIENTE")</f>
        <v/>
      </c>
      <c r="C8" s="10">
        <f>SUMIFS('Control de Vales'!I$8:I$100, 'Control de Vales'!E$8:E$100, A8, 'Control de Vales'!H$8:H$100, "DIESEL B5", 'Control de Vales'!M$8:M$100, "PENDIENTE")</f>
        <v/>
      </c>
      <c r="D8" s="10">
        <f>SUMIFS('Control de Vales'!I$8:I$100, 'Control de Vales'!E$8:E$100, A8, 'Control de Vales'!H$8:H$100, "PREMIUM", 'Control de Vales'!M$8:M$100, "PENDIENTE")</f>
        <v/>
      </c>
      <c r="E8" s="11">
        <f>SUMIFS('Control de Vales'!K$8:K$100, 'Control de Vales'!E$8:E$100, A8, 'Control de Vales'!M$8:M$100, "PENDIENTE")</f>
        <v/>
      </c>
      <c r="F8" s="8" t="inlineStr">
        <is>
          <t>Por facturar fin de mes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2026-10-19T16:16:11Z</dcterms:created>
  <dcterms:modified xsi:type="dcterms:W3CDTF">2026-10-19T16:16:11Z</dcterms:modified>
</cp:coreProperties>
</file>